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Bugs" sheetId="3" state="visible" r:id="rId3"/>
  </sheets>
  <definedNames>
    <definedName name="_xlnm._FilterDatabase" localSheetId="0" hidden="1">'Tests'!$A$4:$H$39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8F1D2C"/>
      <sz val="14"/>
    </font>
    <font>
      <i val="1"/>
      <color rgb="005C5148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63A5C"/>
      </patternFill>
    </fill>
    <fill>
      <patternFill patternType="solid">
        <fgColor rgb="008F1D2C"/>
      </patternFill>
    </fill>
  </fills>
  <borders count="2">
    <border>
      <left/>
      <right/>
      <top/>
      <bottom/>
      <diagonal/>
    </border>
    <border>
      <left style="thin">
        <color rgb="00DFD2BD"/>
      </left>
      <right style="thin">
        <color rgb="00DFD2BD"/>
      </right>
      <top style="thin">
        <color rgb="00DFD2BD"/>
      </top>
      <bottom style="thin">
        <color rgb="00DFD2B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9" fontId="0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dxfs count="3">
    <dxf>
      <font>
        <b val="1"/>
        <color rgb="001F6B3A"/>
      </font>
      <fill>
        <patternFill patternType="solid">
          <fgColor rgb="00E3F1E6"/>
        </patternFill>
      </fill>
    </dxf>
    <dxf>
      <font>
        <b val="1"/>
        <color rgb="008F1D2C"/>
      </font>
      <fill>
        <patternFill patternType="solid">
          <fgColor rgb="00F9E3E6"/>
        </patternFill>
      </fill>
    </dxf>
    <dxf>
      <font>
        <b val="1"/>
        <color rgb="007D520C"/>
      </font>
      <fill>
        <patternFill patternType="solid">
          <fgColor rgb="00F8EF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48" customWidth="1" min="4" max="4"/>
    <col width="52" customWidth="1" min="5" max="5"/>
    <col width="12" customWidth="1" min="6" max="6"/>
    <col width="14" customWidth="1" min="7" max="7"/>
    <col width="30" customWidth="1" min="8" max="8"/>
  </cols>
  <sheetData>
    <row r="1">
      <c r="A1" s="1" t="inlineStr">
        <is>
          <t>Agamya test sheet</t>
        </is>
      </c>
    </row>
    <row r="2">
      <c r="A2" s="2" t="inlineStr">
        <is>
          <t>App: https://agamya-82538920788.us-central1.run.app   ·   Work: judge.work@agamya.example   ·   Culture: judge.culture@agamya.example   ·   Password: agamya-judges-2026</t>
        </is>
      </c>
    </row>
    <row r="4">
      <c r="A4" s="3" t="inlineStr">
        <is>
          <t>ID</t>
        </is>
      </c>
      <c r="B4" s="3" t="inlineStr">
        <is>
          <t>Area</t>
        </is>
      </c>
      <c r="C4" s="3" t="inlineStr">
        <is>
          <t>Where</t>
        </is>
      </c>
      <c r="D4" s="3" t="inlineStr">
        <is>
          <t>Do this</t>
        </is>
      </c>
      <c r="E4" s="3" t="inlineStr">
        <is>
          <t>Expected</t>
        </is>
      </c>
      <c r="F4" s="3" t="inlineStr">
        <is>
          <t>Result</t>
        </is>
      </c>
      <c r="G4" s="3" t="inlineStr">
        <is>
          <t>Tester</t>
        </is>
      </c>
      <c r="H4" s="3" t="inlineStr">
        <is>
          <t>Notes / bug link</t>
        </is>
      </c>
    </row>
    <row r="5">
      <c r="A5" s="4" t="inlineStr">
        <is>
          <t>1.1</t>
        </is>
      </c>
      <c r="B5" s="4" t="inlineStr">
        <is>
          <t>Landing and sign-in</t>
        </is>
      </c>
      <c r="C5" s="4" t="inlineStr">
        <is>
          <t>Open the app while signed out</t>
        </is>
      </c>
      <c r="D5" s="4" t="inlineStr">
        <is>
          <t>Look at the landing page.</t>
        </is>
      </c>
      <c r="E5" s="4" t="inlineStr">
        <is>
          <t>The painted artwork shows six crafts with their names under each panel. Two starts: Work (screen) and Culture (camera).</t>
        </is>
      </c>
      <c r="F5" s="4" t="inlineStr">
        <is>
          <t>Not run</t>
        </is>
      </c>
      <c r="G5" s="4" t="inlineStr"/>
      <c r="H5" s="4" t="inlineStr"/>
    </row>
    <row r="6">
      <c r="A6" s="4" t="inlineStr">
        <is>
          <t>1.2</t>
        </is>
      </c>
      <c r="B6" s="4" t="inlineStr">
        <is>
          <t>Landing and sign-in</t>
        </is>
      </c>
      <c r="C6" s="4" t="inlineStr">
        <is>
          <t>Open the app while signed out</t>
        </is>
      </c>
      <c r="D6" s="4" t="inlineStr">
        <is>
          <t>Click Sign in, then Fill in Work judge.</t>
        </is>
      </c>
      <c r="E6" s="4" t="inlineStr">
        <is>
          <t>Email and password are filled; focus moves to Sign in.</t>
        </is>
      </c>
      <c r="F6" s="4" t="inlineStr">
        <is>
          <t>Not run</t>
        </is>
      </c>
      <c r="G6" s="4" t="inlineStr"/>
      <c r="H6" s="4" t="inlineStr"/>
    </row>
    <row r="7">
      <c r="A7" s="4" t="inlineStr">
        <is>
          <t>1.3</t>
        </is>
      </c>
      <c r="B7" s="4" t="inlineStr">
        <is>
          <t>Landing and sign-in</t>
        </is>
      </c>
      <c r="C7" s="4" t="inlineStr">
        <is>
          <t>Open the app while signed out</t>
        </is>
      </c>
      <c r="D7" s="4" t="inlineStr">
        <is>
          <t>Sign in and accept the policies.</t>
        </is>
      </c>
      <c r="E7" s="4" t="inlineStr">
        <is>
          <t>The policies are titled plainly (no "template"). After accepting you reach Home.</t>
        </is>
      </c>
      <c r="F7" s="4" t="inlineStr">
        <is>
          <t>Not run</t>
        </is>
      </c>
      <c r="G7" s="4" t="inlineStr"/>
      <c r="H7" s="4" t="inlineStr"/>
    </row>
    <row r="8">
      <c r="A8" s="4" t="inlineStr">
        <is>
          <t>1.4</t>
        </is>
      </c>
      <c r="B8" s="4" t="inlineStr">
        <is>
          <t>Landing and sign-in</t>
        </is>
      </c>
      <c r="C8" s="4" t="inlineStr">
        <is>
          <t>Open the app while signed out</t>
        </is>
      </c>
      <c r="D8" s="4" t="inlineStr">
        <is>
          <t>Press Back (bottom-left) on any page except Home.</t>
        </is>
      </c>
      <c r="E8" s="4" t="inlineStr">
        <is>
          <t>You return to the previous page.</t>
        </is>
      </c>
      <c r="F8" s="4" t="inlineStr">
        <is>
          <t>Not run</t>
        </is>
      </c>
      <c r="G8" s="4" t="inlineStr"/>
      <c r="H8" s="4" t="inlineStr"/>
    </row>
    <row r="9">
      <c r="A9" s="4" t="inlineStr">
        <is>
          <t>2.1</t>
        </is>
      </c>
      <c r="B9" s="4" t="inlineStr">
        <is>
          <t>Record your work with Moti (Work, screen)</t>
        </is>
      </c>
      <c r="C9" s="4" t="inlineStr">
        <is>
          <t>Home → Start with your screen</t>
        </is>
      </c>
      <c r="D9" s="4" t="inlineStr">
        <is>
          <t>Type a task name, choose a language, press I agree, start.</t>
        </is>
      </c>
      <c r="E9" s="4" t="inlineStr">
        <is>
          <t>The browser asks for the microphone and which screen to share.</t>
        </is>
      </c>
      <c r="F9" s="4" t="inlineStr">
        <is>
          <t>Not run</t>
        </is>
      </c>
      <c r="G9" s="4" t="inlineStr"/>
      <c r="H9" s="4" t="inlineStr"/>
    </row>
    <row r="10">
      <c r="A10" s="4" t="inlineStr">
        <is>
          <t>2.2</t>
        </is>
      </c>
      <c r="B10" s="4" t="inlineStr">
        <is>
          <t>Record your work with Moti (Work, screen)</t>
        </is>
      </c>
      <c r="C10" s="4" t="inlineStr">
        <is>
          <t>Home → Start with your screen</t>
        </is>
      </c>
      <c r="D10" s="4" t="inlineStr">
        <is>
          <t>Share a screen with a test spreadsheet. Work and explain aloud, e.g. "anything over fifty thousand I hold for the controller". Then pause.</t>
        </is>
      </c>
      <c r="E10" s="4" t="inlineStr">
        <is>
          <t>Your screen stays visible. After a pause Moti asks one short question, by voice and in text.</t>
        </is>
      </c>
      <c r="F10" s="4" t="inlineStr">
        <is>
          <t>Not run</t>
        </is>
      </c>
      <c r="G10" s="4" t="inlineStr"/>
      <c r="H10" s="4" t="inlineStr"/>
    </row>
    <row r="11">
      <c r="A11" s="4" t="inlineStr">
        <is>
          <t>2.3</t>
        </is>
      </c>
      <c r="B11" s="4" t="inlineStr">
        <is>
          <t>Record your work with Moti (Work, screen)</t>
        </is>
      </c>
      <c r="C11" s="4" t="inlineStr">
        <is>
          <t>Home → Start with your screen</t>
        </is>
      </c>
      <c r="D11" s="4" t="inlineStr">
        <is>
          <t>Type a line in "Type instead of speaking" and press Enter.</t>
        </is>
      </c>
      <c r="E11" s="4" t="inlineStr">
        <is>
          <t>It appears as You; Moti may reply.</t>
        </is>
      </c>
      <c r="F11" s="4" t="inlineStr">
        <is>
          <t>Not run</t>
        </is>
      </c>
      <c r="G11" s="4" t="inlineStr"/>
      <c r="H11" s="4" t="inlineStr"/>
    </row>
    <row r="12">
      <c r="A12" s="4" t="inlineStr">
        <is>
          <t>2.4</t>
        </is>
      </c>
      <c r="B12" s="4" t="inlineStr">
        <is>
          <t>Record your work with Moti (Work, screen)</t>
        </is>
      </c>
      <c r="C12" s="4" t="inlineStr">
        <is>
          <t>Home → Start with your screen</t>
        </is>
      </c>
      <c r="D12" s="4" t="inlineStr">
        <is>
          <t>Press Off the record, talk, then Back on the record.</t>
        </is>
      </c>
      <c r="E12" s="4" t="inlineStr">
        <is>
          <t>A banner says nothing is captured. Nothing said meanwhile appears in the Work Map.</t>
        </is>
      </c>
      <c r="F12" s="4" t="inlineStr">
        <is>
          <t>Not run</t>
        </is>
      </c>
      <c r="G12" s="4" t="inlineStr"/>
      <c r="H12" s="4" t="inlineStr"/>
    </row>
    <row r="13">
      <c r="A13" s="4" t="inlineStr">
        <is>
          <t>2.5</t>
        </is>
      </c>
      <c r="B13" s="4" t="inlineStr">
        <is>
          <t>Record your work with Moti (Work, screen)</t>
        </is>
      </c>
      <c r="C13" s="4" t="inlineStr">
        <is>
          <t>Home → Start with your screen</t>
        </is>
      </c>
      <c r="D13" s="4" t="inlineStr">
        <is>
          <t>Press I'm done.</t>
        </is>
      </c>
      <c r="E13" s="4" t="inlineStr">
        <is>
          <t>You go to "Building your Work Map" with no error.</t>
        </is>
      </c>
      <c r="F13" s="4" t="inlineStr">
        <is>
          <t>Not run</t>
        </is>
      </c>
      <c r="G13" s="4" t="inlineStr"/>
      <c r="H13" s="4" t="inlineStr"/>
    </row>
    <row r="14">
      <c r="A14" s="4" t="inlineStr">
        <is>
          <t>3.1</t>
        </is>
      </c>
      <c r="B14" s="4" t="inlineStr">
        <is>
          <t>Record a skill (Culture, camera)</t>
        </is>
      </c>
      <c r="C14" s="4" t="inlineStr">
        <is>
          <t>Sign in as the Culture judge → Start with your camera</t>
        </is>
      </c>
      <c r="D14" s="4" t="inlineStr">
        <is>
          <t>Choose मराठी (Marathi) and start.</t>
        </is>
      </c>
      <c r="E14" s="4" t="inlineStr">
        <is>
          <t>Your camera picture stays visible for the whole session (never black).</t>
        </is>
      </c>
      <c r="F14" s="4" t="inlineStr">
        <is>
          <t>Not run</t>
        </is>
      </c>
      <c r="G14" s="4" t="inlineStr"/>
      <c r="H14" s="4" t="inlineStr"/>
    </row>
    <row r="15">
      <c r="A15" s="4" t="inlineStr">
        <is>
          <t>3.2</t>
        </is>
      </c>
      <c r="B15" s="4" t="inlineStr">
        <is>
          <t>Record a skill (Culture, camera)</t>
        </is>
      </c>
      <c r="C15" s="4" t="inlineStr">
        <is>
          <t>Sign in as the Culture judge → Start with your camera</t>
        </is>
      </c>
      <c r="D15" s="4" t="inlineStr">
        <is>
          <t>Speak in Marathi and pause.</t>
        </is>
      </c>
      <c r="E15" s="4" t="inlineStr">
        <is>
          <t>Moti asks in Marathi.</t>
        </is>
      </c>
      <c r="F15" s="4" t="inlineStr">
        <is>
          <t>Not run</t>
        </is>
      </c>
      <c r="G15" s="4" t="inlineStr"/>
      <c r="H15" s="4" t="inlineStr"/>
    </row>
    <row r="16">
      <c r="A16" s="4" t="inlineStr">
        <is>
          <t>3.3</t>
        </is>
      </c>
      <c r="B16" s="4" t="inlineStr">
        <is>
          <t>Record a skill (Culture, camera)</t>
        </is>
      </c>
      <c r="C16" s="4" t="inlineStr">
        <is>
          <t>Sign in as the Culture judge → Start with your camera</t>
        </is>
      </c>
      <c r="D16" s="4" t="inlineStr">
        <is>
          <t>Click Home in the top bar during the session.</t>
        </is>
      </c>
      <c r="E16" s="4" t="inlineStr">
        <is>
          <t>Home opens; buttons keep working (no "Maximum call stack" error).</t>
        </is>
      </c>
      <c r="F16" s="4" t="inlineStr">
        <is>
          <t>Not run</t>
        </is>
      </c>
      <c r="G16" s="4" t="inlineStr"/>
      <c r="H16" s="4" t="inlineStr"/>
    </row>
    <row r="17">
      <c r="A17" s="4" t="inlineStr">
        <is>
          <t>4.1</t>
        </is>
      </c>
      <c r="B17" s="4" t="inlineStr">
        <is>
          <t>Your sessions on Home</t>
        </is>
      </c>
      <c r="C17" s="4" t="inlineStr">
        <is>
          <t>Home → Your recent sessions</t>
        </is>
      </c>
      <c r="D17" s="4" t="inlineStr">
        <is>
          <t>Look right after recording.</t>
        </is>
      </c>
      <c r="E17" s="4" t="inlineStr">
        <is>
          <t>The session is listed at once with a status in words (for example "Building the Work Map").</t>
        </is>
      </c>
      <c r="F17" s="4" t="inlineStr">
        <is>
          <t>Not run</t>
        </is>
      </c>
      <c r="G17" s="4" t="inlineStr"/>
      <c r="H17" s="4" t="inlineStr"/>
    </row>
    <row r="18">
      <c r="A18" s="4" t="inlineStr">
        <is>
          <t>4.2</t>
        </is>
      </c>
      <c r="B18" s="4" t="inlineStr">
        <is>
          <t>Your sessions on Home</t>
        </is>
      </c>
      <c r="C18" s="4" t="inlineStr">
        <is>
          <t>Home → Your recent sessions</t>
        </is>
      </c>
      <c r="D18" s="4" t="inlineStr">
        <is>
          <t>Wait a few seconds on Home.</t>
        </is>
      </c>
      <c r="E18" s="4" t="inlineStr">
        <is>
          <t>The status changes by itself to "Ready: answer Moti's questions and confirm".</t>
        </is>
      </c>
      <c r="F18" s="4" t="inlineStr">
        <is>
          <t>Not run</t>
        </is>
      </c>
      <c r="G18" s="4" t="inlineStr"/>
      <c r="H18" s="4" t="inlineStr"/>
    </row>
    <row r="19">
      <c r="A19" s="4" t="inlineStr">
        <is>
          <t>4.3</t>
        </is>
      </c>
      <c r="B19" s="4" t="inlineStr">
        <is>
          <t>Your sessions on Home</t>
        </is>
      </c>
      <c r="C19" s="4" t="inlineStr">
        <is>
          <t>Home → Your recent sessions</t>
        </is>
      </c>
      <c r="D19" s="4" t="inlineStr">
        <is>
          <t>For a session you did not finish, press Build the Work Map.</t>
        </is>
      </c>
      <c r="E19" s="4" t="inlineStr">
        <is>
          <t>The map starts building.</t>
        </is>
      </c>
      <c r="F19" s="4" t="inlineStr">
        <is>
          <t>Not run</t>
        </is>
      </c>
      <c r="G19" s="4" t="inlineStr"/>
      <c r="H19" s="4" t="inlineStr"/>
    </row>
    <row r="20">
      <c r="A20" s="4" t="inlineStr">
        <is>
          <t>4.4</t>
        </is>
      </c>
      <c r="B20" s="4" t="inlineStr">
        <is>
          <t>Your sessions on Home</t>
        </is>
      </c>
      <c r="C20" s="4" t="inlineStr">
        <is>
          <t>Home → Your recent sessions</t>
        </is>
      </c>
      <c r="D20" s="4" t="inlineStr">
        <is>
          <t>Press Terminate on a session and confirm.</t>
        </is>
      </c>
      <c r="E20" s="4" t="inlineStr">
        <is>
          <t>It disappears from the list and cannot be resumed.</t>
        </is>
      </c>
      <c r="F20" s="4" t="inlineStr">
        <is>
          <t>Not run</t>
        </is>
      </c>
      <c r="G20" s="4" t="inlineStr"/>
      <c r="H20" s="4" t="inlineStr"/>
    </row>
    <row r="21">
      <c r="A21" s="4" t="inlineStr">
        <is>
          <t>5.1</t>
        </is>
      </c>
      <c r="B21" s="4" t="inlineStr">
        <is>
          <t>Work Map, debrief and confirm</t>
        </is>
      </c>
      <c r="C21" s="4" t="inlineStr">
        <is>
          <t>Open a session from Home</t>
        </is>
      </c>
      <c r="D21" s="4" t="inlineStr">
        <is>
          <t>Read the steps.</t>
        </is>
      </c>
      <c r="E21" s="4" t="inlineStr">
        <is>
          <t>Each step has a screen moment, decision, reason and guardrails. Your words appear in quotes; anything you did not say is labelled AI-inferred.</t>
        </is>
      </c>
      <c r="F21" s="4" t="inlineStr">
        <is>
          <t>Not run</t>
        </is>
      </c>
      <c r="G21" s="4" t="inlineStr"/>
      <c r="H21" s="4" t="inlineStr"/>
    </row>
    <row r="22">
      <c r="A22" s="4" t="inlineStr">
        <is>
          <t>5.2</t>
        </is>
      </c>
      <c r="B22" s="4" t="inlineStr">
        <is>
          <t>Work Map, debrief and confirm</t>
        </is>
      </c>
      <c r="C22" s="4" t="inlineStr">
        <is>
          <t>Open a session from Home</t>
        </is>
      </c>
      <c r="D22" s="4" t="inlineStr">
        <is>
          <t>Open "What Moti is unsure about", then press Start the debrief and answer.</t>
        </is>
      </c>
      <c r="E22" s="4" t="inlineStr">
        <is>
          <t>Moti asks those questions and explains the process back.</t>
        </is>
      </c>
      <c r="F22" s="4" t="inlineStr">
        <is>
          <t>Not run</t>
        </is>
      </c>
      <c r="G22" s="4" t="inlineStr"/>
      <c r="H22" s="4" t="inlineStr"/>
    </row>
    <row r="23">
      <c r="A23" s="4" t="inlineStr">
        <is>
          <t>5.3</t>
        </is>
      </c>
      <c r="B23" s="4" t="inlineStr">
        <is>
          <t>Work Map, debrief and confirm</t>
        </is>
      </c>
      <c r="C23" s="4" t="inlineStr">
        <is>
          <t>Open a session from Home</t>
        </is>
      </c>
      <c r="D23" s="4" t="inlineStr">
        <is>
          <t>Press Finish the debrief, then Yes, that's how it works.</t>
        </is>
      </c>
      <c r="E23" s="4" t="inlineStr">
        <is>
          <t>The map says "confirmed by the expert"; Practise this and Export for agents appear.</t>
        </is>
      </c>
      <c r="F23" s="4" t="inlineStr">
        <is>
          <t>Not run</t>
        </is>
      </c>
      <c r="G23" s="4" t="inlineStr"/>
      <c r="H23" s="4" t="inlineStr"/>
    </row>
    <row r="24">
      <c r="A24" s="4" t="inlineStr">
        <is>
          <t>5.4</t>
        </is>
      </c>
      <c r="B24" s="4" t="inlineStr">
        <is>
          <t>Work Map, debrief and confirm</t>
        </is>
      </c>
      <c r="C24" s="4" t="inlineStr">
        <is>
          <t>Open a session from Home</t>
        </is>
      </c>
      <c r="D24" s="4" t="inlineStr">
        <is>
          <t>Press Export for agents.</t>
        </is>
      </c>
      <c r="E24" s="4" t="inlineStr">
        <is>
          <t>A file downloads with STOP AND ASK A PERSON and NEVER lines.</t>
        </is>
      </c>
      <c r="F24" s="4" t="inlineStr">
        <is>
          <t>Not run</t>
        </is>
      </c>
      <c r="G24" s="4" t="inlineStr"/>
      <c r="H24" s="4" t="inlineStr"/>
    </row>
    <row r="25">
      <c r="A25" s="4" t="inlineStr">
        <is>
          <t>6.1</t>
        </is>
      </c>
      <c r="B25" s="4" t="inlineStr">
        <is>
          <t>Listen to the Work Map</t>
        </is>
      </c>
      <c r="C25" s="4" t="inlineStr">
        <is>
          <t>On a Work Map → Listen to this Work Map</t>
        </is>
      </c>
      <c r="D25" s="4" t="inlineStr">
        <is>
          <t>Choose हिन्दी (Hindi) and press Listen.</t>
        </is>
      </c>
      <c r="E25" s="4" t="inlineStr">
        <is>
          <t>After up to about 30 seconds, an audio player and a Hindi transcript appear. Your quotes are kept as you said them.</t>
        </is>
      </c>
      <c r="F25" s="4" t="inlineStr">
        <is>
          <t>Not run</t>
        </is>
      </c>
      <c r="G25" s="4" t="inlineStr"/>
      <c r="H25" s="4" t="inlineStr"/>
    </row>
    <row r="26">
      <c r="A26" s="4" t="inlineStr">
        <is>
          <t>6.2</t>
        </is>
      </c>
      <c r="B26" s="4" t="inlineStr">
        <is>
          <t>Listen to the Work Map</t>
        </is>
      </c>
      <c r="C26" s="4" t="inlineStr">
        <is>
          <t>On a Work Map → Listen to this Work Map</t>
        </is>
      </c>
      <c r="D26" s="4" t="inlineStr">
        <is>
          <t>Choose Bengali.</t>
        </is>
      </c>
      <c r="E26" s="4" t="inlineStr">
        <is>
          <t>The narration is labelled "not yet reviewed by a native speaker".</t>
        </is>
      </c>
      <c r="F26" s="4" t="inlineStr">
        <is>
          <t>Not run</t>
        </is>
      </c>
      <c r="G26" s="4" t="inlineStr"/>
      <c r="H26" s="4" t="inlineStr"/>
    </row>
    <row r="27">
      <c r="A27" s="4" t="inlineStr">
        <is>
          <t>7.1</t>
        </is>
      </c>
      <c r="B27" s="4" t="inlineStr">
        <is>
          <t>Practise with Moti as tutor</t>
        </is>
      </c>
      <c r="C27" s="4" t="inlineStr">
        <is>
          <t>Confirmed Work Map → Practise this</t>
        </is>
      </c>
      <c r="D27" s="4" t="inlineStr">
        <is>
          <t>Choose ಕನ್ನಡ (Kannada) or हिन्दी (Hindi) and share your screen.</t>
        </is>
      </c>
      <c r="E27" s="4" t="inlineStr">
        <is>
          <t>Moti greets you in that language.</t>
        </is>
      </c>
      <c r="F27" s="4" t="inlineStr">
        <is>
          <t>Not run</t>
        </is>
      </c>
      <c r="G27" s="4" t="inlineStr"/>
      <c r="H27" s="4" t="inlineStr"/>
    </row>
    <row r="28">
      <c r="A28" s="4" t="inlineStr">
        <is>
          <t>7.2</t>
        </is>
      </c>
      <c r="B28" s="4" t="inlineStr">
        <is>
          <t>Practise with Moti as tutor</t>
        </is>
      </c>
      <c r="C28" s="4" t="inlineStr">
        <is>
          <t>Confirmed Work Map → Practise this</t>
        </is>
      </c>
      <c r="D28" s="4" t="inlineStr">
        <is>
          <t>Start doing the task the wrong way, e.g. say "I'm posting this 72,000 invoice now".</t>
        </is>
      </c>
      <c r="E28" s="4" t="inlineStr">
        <is>
          <t>Moti stops you ("... would stop here. Why do you think?") and can show the expert's screen moment.</t>
        </is>
      </c>
      <c r="F28" s="4" t="inlineStr">
        <is>
          <t>Not run</t>
        </is>
      </c>
      <c r="G28" s="4" t="inlineStr"/>
      <c r="H28" s="4" t="inlineStr"/>
    </row>
    <row r="29">
      <c r="A29" s="4" t="inlineStr">
        <is>
          <t>7.3</t>
        </is>
      </c>
      <c r="B29" s="4" t="inlineStr">
        <is>
          <t>Practise with Moti as tutor</t>
        </is>
      </c>
      <c r="C29" s="4" t="inlineStr">
        <is>
          <t>Confirmed Work Map → Practise this</t>
        </is>
      </c>
      <c r="D29" s="4" t="inlineStr">
        <is>
          <t>Say "I'm finished" (or press I'm finished).</t>
        </is>
      </c>
      <c r="E29" s="4" t="inlineStr">
        <is>
          <t>A summary appears: handled well, practise next, and "not a certification".</t>
        </is>
      </c>
      <c r="F29" s="4" t="inlineStr">
        <is>
          <t>Not run</t>
        </is>
      </c>
      <c r="G29" s="4" t="inlineStr"/>
      <c r="H29" s="4" t="inlineStr"/>
    </row>
    <row r="30">
      <c r="A30" s="4" t="inlineStr">
        <is>
          <t>8.1</t>
        </is>
      </c>
      <c r="B30" s="4" t="inlineStr">
        <is>
          <t>AI agents that stop where the expert would stop</t>
        </is>
      </c>
      <c r="C30" s="4" t="inlineStr">
        <is>
          <t>Confirmed Work Map → Use this Work Map with AI agents</t>
        </is>
      </c>
      <c r="D30" s="4" t="inlineStr">
        <is>
          <t>Type "Post invoice INV-204 for 72,000 rupees" and press Would … stop here?</t>
        </is>
      </c>
      <c r="E30" s="4" t="inlineStr">
        <is>
          <t>A verdict (Stop / Ask a person / Proceed / Not covered) with the expert's own words.</t>
        </is>
      </c>
      <c r="F30" s="4" t="inlineStr">
        <is>
          <t>Not run</t>
        </is>
      </c>
      <c r="G30" s="4" t="inlineStr"/>
      <c r="H30" s="4" t="inlineStr"/>
    </row>
    <row r="31">
      <c r="A31" s="4" t="inlineStr">
        <is>
          <t>8.2</t>
        </is>
      </c>
      <c r="B31" s="4" t="inlineStr">
        <is>
          <t>AI agents that stop where the expert would stop</t>
        </is>
      </c>
      <c r="C31" s="4" t="inlineStr">
        <is>
          <t>Confirmed Work Map → Use this Work Map with AI agents</t>
        </is>
      </c>
      <c r="D31" s="4" t="inlineStr">
        <is>
          <t>Try a routine action, e.g. a small invoice from a known supplier.</t>
        </is>
      </c>
      <c r="E31" s="4" t="inlineStr">
        <is>
          <t>Proceed, naming the step.</t>
        </is>
      </c>
      <c r="F31" s="4" t="inlineStr">
        <is>
          <t>Not run</t>
        </is>
      </c>
      <c r="G31" s="4" t="inlineStr"/>
      <c r="H31" s="4" t="inlineStr"/>
    </row>
    <row r="32">
      <c r="A32" s="4" t="inlineStr">
        <is>
          <t>8.3</t>
        </is>
      </c>
      <c r="B32" s="4" t="inlineStr">
        <is>
          <t>AI agents that stop where the expert would stop</t>
        </is>
      </c>
      <c r="C32" s="4" t="inlineStr">
        <is>
          <t>Confirmed Work Map → Use this Work Map with AI agents</t>
        </is>
      </c>
      <c r="D32" s="4" t="inlineStr">
        <is>
          <t>Open Connect an agent, name it, press Create a key.</t>
        </is>
      </c>
      <c r="E32" s="4" t="inlineStr">
        <is>
          <t>A key is shown once, with MCP and REST instructions.</t>
        </is>
      </c>
      <c r="F32" s="4" t="inlineStr">
        <is>
          <t>Not run</t>
        </is>
      </c>
      <c r="G32" s="4" t="inlineStr"/>
      <c r="H32" s="4" t="inlineStr"/>
    </row>
    <row r="33">
      <c r="A33" s="4" t="inlineStr">
        <is>
          <t>8.4</t>
        </is>
      </c>
      <c r="B33" s="4" t="inlineStr">
        <is>
          <t>AI agents that stop where the expert would stop</t>
        </is>
      </c>
      <c r="C33" s="4" t="inlineStr">
        <is>
          <t>Confirmed Work Map → Use this Work Map with AI agents</t>
        </is>
      </c>
      <c r="D33" s="4" t="inlineStr">
        <is>
          <t>Press Revoke on that key and confirm.</t>
        </is>
      </c>
      <c r="E33" s="4" t="inlineStr">
        <is>
          <t>It is marked revoked.</t>
        </is>
      </c>
      <c r="F33" s="4" t="inlineStr">
        <is>
          <t>Not run</t>
        </is>
      </c>
      <c r="G33" s="4" t="inlineStr"/>
      <c r="H33" s="4" t="inlineStr"/>
    </row>
    <row r="34">
      <c r="A34" s="4" t="inlineStr">
        <is>
          <t>9.1</t>
        </is>
      </c>
      <c r="B34" s="4" t="inlineStr">
        <is>
          <t>Impact</t>
        </is>
      </c>
      <c r="C34" s="4" t="inlineStr">
        <is>
          <t>Menu → Impact</t>
        </is>
      </c>
      <c r="D34" s="4" t="inlineStr">
        <is>
          <t>Open the page after a session.</t>
        </is>
      </c>
      <c r="E34" s="4" t="inlineStr">
        <is>
          <t>Real counts: minutes captured, questions asked, maps confirmed, stops in practice, agent checks, languages and AI cost. Missing data says "not enough data yet".</t>
        </is>
      </c>
      <c r="F34" s="4" t="inlineStr">
        <is>
          <t>Not run</t>
        </is>
      </c>
      <c r="G34" s="4" t="inlineStr"/>
      <c r="H34" s="4" t="inlineStr"/>
    </row>
    <row r="35">
      <c r="A35" s="4" t="inlineStr">
        <is>
          <t>10.1</t>
        </is>
      </c>
      <c r="B35" s="4" t="inlineStr">
        <is>
          <t>Spaces, people and sharing</t>
        </is>
      </c>
      <c r="C35" s="4" t="inlineStr">
        <is>
          <t>Work judge for missions; Culture judge for sharing</t>
        </is>
      </c>
      <c r="D35" s="4" t="inlineStr">
        <is>
          <t>Groups → create a group. Then KT missions → New mission.</t>
        </is>
      </c>
      <c r="E35" s="4" t="inlineStr">
        <is>
          <t>The new group appears under Receiver groups. The step pills are small, not tall arches.</t>
        </is>
      </c>
      <c r="F35" s="4" t="inlineStr">
        <is>
          <t>Not run</t>
        </is>
      </c>
      <c r="G35" s="4" t="inlineStr"/>
      <c r="H35" s="4" t="inlineStr"/>
    </row>
    <row r="36">
      <c r="A36" s="4" t="inlineStr">
        <is>
          <t>10.2</t>
        </is>
      </c>
      <c r="B36" s="4" t="inlineStr">
        <is>
          <t>Spaces, people and sharing</t>
        </is>
      </c>
      <c r="C36" s="4" t="inlineStr">
        <is>
          <t>Work judge for missions; Culture judge for sharing</t>
        </is>
      </c>
      <c r="D36" s="4" t="inlineStr">
        <is>
          <t>People (or Administration) → invite an email → Create invitation.</t>
        </is>
      </c>
      <c r="E36" s="4" t="inlineStr">
        <is>
          <t>Send with Gmail opens Gmail with the message written; Copy link works. Agamya sends nothing itself.</t>
        </is>
      </c>
      <c r="F36" s="4" t="inlineStr">
        <is>
          <t>Not run</t>
        </is>
      </c>
      <c r="G36" s="4" t="inlineStr"/>
      <c r="H36" s="4" t="inlineStr"/>
    </row>
    <row r="37">
      <c r="A37" s="4" t="inlineStr">
        <is>
          <t>10.3</t>
        </is>
      </c>
      <c r="B37" s="4" t="inlineStr">
        <is>
          <t>Spaces, people and sharing</t>
        </is>
      </c>
      <c r="C37" s="4" t="inlineStr">
        <is>
          <t>Work judge for missions; Culture judge for sharing</t>
        </is>
      </c>
      <c r="D37" s="4" t="inlineStr">
        <is>
          <t>Open the invitation link in a private window.</t>
        </is>
      </c>
      <c r="E37" s="4" t="inlineStr">
        <is>
          <t>It names the space and says whether to create a password or use your existing one. There is no separate space password.</t>
        </is>
      </c>
      <c r="F37" s="4" t="inlineStr">
        <is>
          <t>Not run</t>
        </is>
      </c>
      <c r="G37" s="4" t="inlineStr"/>
      <c r="H37" s="4" t="inlineStr"/>
    </row>
    <row r="38">
      <c r="A38" s="4" t="inlineStr">
        <is>
          <t>10.4</t>
        </is>
      </c>
      <c r="B38" s="4" t="inlineStr">
        <is>
          <t>Spaces, people and sharing</t>
        </is>
      </c>
      <c r="C38" s="4" t="inlineStr">
        <is>
          <t>Work judge for missions; Culture judge for sharing</t>
        </is>
      </c>
      <c r="D38" s="4" t="inlineStr">
        <is>
          <t>As a learner with nothing shared, open Learning → Ask a teacher to share.</t>
        </is>
      </c>
      <c r="E38" s="4" t="inlineStr">
        <is>
          <t>"Request sent". The teacher sees it in the inbox with Share selected / Decline, and you are told the outcome.</t>
        </is>
      </c>
      <c r="F38" s="4" t="inlineStr">
        <is>
          <t>Not run</t>
        </is>
      </c>
      <c r="G38" s="4" t="inlineStr"/>
      <c r="H38" s="4" t="inlineStr"/>
    </row>
    <row r="39">
      <c r="A39" s="4" t="inlineStr">
        <is>
          <t>10.5</t>
        </is>
      </c>
      <c r="B39" s="4" t="inlineStr">
        <is>
          <t>Spaces, people and sharing</t>
        </is>
      </c>
      <c r="C39" s="4" t="inlineStr">
        <is>
          <t>Work judge for missions; Culture judge for sharing</t>
        </is>
      </c>
      <c r="D39" s="4" t="inlineStr">
        <is>
          <t>Capture a skill → Delete on a skill, and confirm.</t>
        </is>
      </c>
      <c r="E39" s="4" t="inlineStr">
        <is>
          <t>It disappears from the list.</t>
        </is>
      </c>
      <c r="F39" s="4" t="inlineStr">
        <is>
          <t>Not run</t>
        </is>
      </c>
      <c r="G39" s="4" t="inlineStr"/>
      <c r="H39" s="4" t="inlineStr"/>
    </row>
  </sheetData>
  <autoFilter ref="A4:H39"/>
  <conditionalFormatting sqref="F5:F39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dataValidations count="1">
    <dataValidation sqref="F5:F39" showDropDown="0" showInputMessage="0" showErrorMessage="0" allowBlank="0" type="list">
      <formula1>"Not run,Pass,Fail,Blocked"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5" t="inlineStr">
        <is>
          <t>Result</t>
        </is>
      </c>
      <c r="B1" s="5" t="inlineStr">
        <is>
          <t>Count</t>
        </is>
      </c>
    </row>
    <row r="2">
      <c r="A2" t="inlineStr">
        <is>
          <t>Pass</t>
        </is>
      </c>
      <c r="B2">
        <f>COUNTIF(Tests!F5:F39,"Pass")</f>
        <v/>
      </c>
    </row>
    <row r="3">
      <c r="A3" t="inlineStr">
        <is>
          <t>Fail</t>
        </is>
      </c>
      <c r="B3">
        <f>COUNTIF(Tests!F5:F39,"Fail")</f>
        <v/>
      </c>
    </row>
    <row r="4">
      <c r="A4" t="inlineStr">
        <is>
          <t>Blocked</t>
        </is>
      </c>
      <c r="B4">
        <f>COUNTIF(Tests!F5:F39,"Blocked")</f>
        <v/>
      </c>
    </row>
    <row r="5">
      <c r="A5" t="inlineStr">
        <is>
          <t>Not run</t>
        </is>
      </c>
      <c r="B5">
        <f>COUNTIF(Tests!F5:F39,"Not run")</f>
        <v/>
      </c>
    </row>
    <row r="6">
      <c r="A6" s="5" t="inlineStr">
        <is>
          <t>Total</t>
        </is>
      </c>
      <c r="B6">
        <f>COUNTA(Tests!A5:A39)</f>
        <v/>
      </c>
    </row>
    <row r="7">
      <c r="A7" t="inlineStr">
        <is>
          <t>Passed</t>
        </is>
      </c>
      <c r="B7" s="6">
        <f>IF(B6=0,0,B2/B6)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16" customWidth="1" min="3" max="3"/>
    <col width="18" customWidth="1" min="4" max="4"/>
    <col width="40" customWidth="1" min="5" max="5"/>
    <col width="30" customWidth="1" min="6" max="6"/>
    <col width="36" customWidth="1" min="7" max="7"/>
    <col width="16" customWidth="1" min="8" max="8"/>
    <col width="12" customWidth="1" min="9" max="9"/>
  </cols>
  <sheetData>
    <row r="1">
      <c r="A1" s="7" t="inlineStr">
        <is>
          <t>Test ID</t>
        </is>
      </c>
      <c r="B1" s="7" t="inlineStr">
        <is>
          <t>Page address</t>
        </is>
      </c>
      <c r="C1" s="7" t="inlineStr">
        <is>
          <t>Account</t>
        </is>
      </c>
      <c r="D1" s="7" t="inlineStr">
        <is>
          <t>Browser / device</t>
        </is>
      </c>
      <c r="E1" s="7" t="inlineStr">
        <is>
          <t>Steps</t>
        </is>
      </c>
      <c r="F1" s="7" t="inlineStr">
        <is>
          <t>Expected</t>
        </is>
      </c>
      <c r="G1" s="7" t="inlineStr">
        <is>
          <t>What happened</t>
        </is>
      </c>
      <c r="H1" s="7" t="inlineStr">
        <is>
          <t>Screenshot</t>
        </is>
      </c>
      <c r="I1" s="7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2026-10-16T11:50:38Z</dcterms:created>
  <dcterms:modified xmlns:dcterms="http://purl.org/dc/terms/" xmlns:xsi="http://www.w3.org/2001/XMLSchema-instance" xsi:type="dcterms:W3CDTF">2026-10-16T11:50:38Z</dcterms:modified>
</cp:coreProperties>
</file>